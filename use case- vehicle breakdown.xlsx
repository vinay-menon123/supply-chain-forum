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Agentic AI\"/>
    </mc:Choice>
  </mc:AlternateContent>
  <xr:revisionPtr revIDLastSave="0" documentId="13_ncr:1_{6B5FAD93-DDA9-436E-AC03-7B0E1521C618}" xr6:coauthVersionLast="47" xr6:coauthVersionMax="47" xr10:uidLastSave="{00000000-0000-0000-0000-000000000000}"/>
  <bookViews>
    <workbookView xWindow="-120" yWindow="-120" windowWidth="20730" windowHeight="11160" tabRatio="805" xr2:uid="{00000000-000D-0000-FFFF-FFFF00000000}"/>
  </bookViews>
  <sheets>
    <sheet name="Scenario" sheetId="1" r:id="rId1"/>
    <sheet name="RDC inventory" sheetId="6" r:id="rId2"/>
    <sheet name="Transporter master" sheetId="2" r:id="rId3"/>
    <sheet name="City name master" sheetId="3" r:id="rId4"/>
    <sheet name="Sales channels master" sheetId="4" r:id="rId5"/>
    <sheet name="Department mast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P14" i="1"/>
  <c r="H17" i="1"/>
  <c r="E19" i="1"/>
  <c r="R19" i="1" s="1"/>
  <c r="D19" i="1"/>
  <c r="K19" i="1" s="1"/>
  <c r="E18" i="1"/>
  <c r="O18" i="1" s="1"/>
  <c r="D18" i="1"/>
  <c r="I18" i="1" s="1"/>
  <c r="E17" i="1"/>
  <c r="P17" i="1" s="1"/>
  <c r="D17" i="1"/>
  <c r="K17" i="1" s="1"/>
  <c r="E16" i="1"/>
  <c r="Q16" i="1" s="1"/>
  <c r="D16" i="1"/>
  <c r="K16" i="1" s="1"/>
  <c r="E15" i="1"/>
  <c r="R15" i="1" s="1"/>
  <c r="D15" i="1"/>
  <c r="J15" i="1" s="1"/>
  <c r="E14" i="1"/>
  <c r="O14" i="1" s="1"/>
  <c r="D14" i="1"/>
  <c r="K14" i="1" s="1"/>
  <c r="E13" i="1"/>
  <c r="P13" i="1" s="1"/>
  <c r="D13" i="1"/>
  <c r="I13" i="1" s="1"/>
  <c r="E12" i="1"/>
  <c r="P12" i="1" s="1"/>
  <c r="D12" i="1"/>
  <c r="J12" i="1" s="1"/>
  <c r="C8" i="1"/>
  <c r="L17" i="1" l="1"/>
  <c r="N16" i="1"/>
  <c r="R16" i="1"/>
  <c r="H15" i="1"/>
  <c r="Q15" i="1"/>
  <c r="K15" i="1"/>
  <c r="L15" i="1"/>
  <c r="O15" i="1"/>
  <c r="P15" i="1"/>
  <c r="H14" i="1"/>
  <c r="L14" i="1"/>
  <c r="J13" i="1"/>
  <c r="K12" i="1"/>
  <c r="I12" i="1"/>
  <c r="H19" i="1"/>
  <c r="I19" i="1"/>
  <c r="P19" i="1"/>
  <c r="L19" i="1"/>
  <c r="J19" i="1"/>
  <c r="Q19" i="1"/>
  <c r="N19" i="1"/>
  <c r="K18" i="1"/>
  <c r="Q18" i="1"/>
  <c r="P18" i="1"/>
  <c r="H18" i="1"/>
  <c r="L18" i="1"/>
  <c r="N18" i="1"/>
  <c r="R18" i="1"/>
  <c r="J18" i="1"/>
  <c r="Q17" i="1"/>
  <c r="I17" i="1"/>
  <c r="N17" i="1"/>
  <c r="R17" i="1"/>
  <c r="J17" i="1"/>
  <c r="O17" i="1"/>
  <c r="H16" i="1"/>
  <c r="L16" i="1"/>
  <c r="I16" i="1"/>
  <c r="O16" i="1"/>
  <c r="J16" i="1"/>
  <c r="P16" i="1"/>
  <c r="I15" i="1"/>
  <c r="N15" i="1"/>
  <c r="I14" i="1"/>
  <c r="Q14" i="1"/>
  <c r="J14" i="1"/>
  <c r="N14" i="1"/>
  <c r="R14" i="1"/>
  <c r="Q13" i="1"/>
  <c r="K13" i="1"/>
  <c r="N13" i="1"/>
  <c r="R13" i="1"/>
  <c r="H13" i="1"/>
  <c r="L13" i="1"/>
  <c r="O13" i="1"/>
  <c r="Q12" i="1"/>
  <c r="H12" i="1"/>
  <c r="L12" i="1"/>
  <c r="N12" i="1"/>
  <c r="R12" i="1"/>
  <c r="O12" i="1"/>
</calcChain>
</file>

<file path=xl/sharedStrings.xml><?xml version="1.0" encoding="utf-8"?>
<sst xmlns="http://schemas.openxmlformats.org/spreadsheetml/2006/main" count="178" uniqueCount="87">
  <si>
    <t>Scenario</t>
  </si>
  <si>
    <t>Chennai</t>
  </si>
  <si>
    <t>Regional w/h</t>
  </si>
  <si>
    <t>City w/h</t>
  </si>
  <si>
    <t>Madurai</t>
  </si>
  <si>
    <t>SKUs</t>
  </si>
  <si>
    <t>FMCG</t>
  </si>
  <si>
    <t>Tonnage- Kgs</t>
  </si>
  <si>
    <t>Frieght/Kg Rs'</t>
  </si>
  <si>
    <t>Distance kms</t>
  </si>
  <si>
    <t>Coimbatore</t>
  </si>
  <si>
    <t>Transporter</t>
  </si>
  <si>
    <t>SKV</t>
  </si>
  <si>
    <t>Breakdown</t>
  </si>
  <si>
    <t>A</t>
  </si>
  <si>
    <t>B</t>
  </si>
  <si>
    <t>C</t>
  </si>
  <si>
    <t>D</t>
  </si>
  <si>
    <t>E</t>
  </si>
  <si>
    <t>F</t>
  </si>
  <si>
    <t>G</t>
  </si>
  <si>
    <t>H</t>
  </si>
  <si>
    <t>Transporter master data</t>
  </si>
  <si>
    <t>Name</t>
  </si>
  <si>
    <t>From</t>
  </si>
  <si>
    <t>To</t>
  </si>
  <si>
    <t>Rate/kg</t>
  </si>
  <si>
    <t>Transit time
in hours</t>
  </si>
  <si>
    <t>KVS</t>
  </si>
  <si>
    <t>NMR</t>
  </si>
  <si>
    <t>ABS</t>
  </si>
  <si>
    <t>HKG</t>
  </si>
  <si>
    <t>City warehouse master</t>
  </si>
  <si>
    <t>SL</t>
  </si>
  <si>
    <t>Salem</t>
  </si>
  <si>
    <t>Tirunelveli</t>
  </si>
  <si>
    <t>Salem &amp; Coimbatore</t>
  </si>
  <si>
    <t>Total no of Units</t>
  </si>
  <si>
    <t>Regional warehouse- Chennai</t>
  </si>
  <si>
    <t>Mother warehouse - Mumbai</t>
  </si>
  <si>
    <t>Kumbakonam</t>
  </si>
  <si>
    <t>Sl</t>
  </si>
  <si>
    <t>Channel</t>
  </si>
  <si>
    <t>Modern trade</t>
  </si>
  <si>
    <t>Traditional trade</t>
  </si>
  <si>
    <t>Ecommerce</t>
  </si>
  <si>
    <t>Qcommerce</t>
  </si>
  <si>
    <t>D2C</t>
  </si>
  <si>
    <t>Channel Name</t>
  </si>
  <si>
    <t>Sales channel Master</t>
  </si>
  <si>
    <t>Department Name</t>
  </si>
  <si>
    <t>Channel Distribution- Salem</t>
  </si>
  <si>
    <t>MT</t>
  </si>
  <si>
    <t>TT</t>
  </si>
  <si>
    <t>Ec</t>
  </si>
  <si>
    <t>Qc</t>
  </si>
  <si>
    <t>D2c</t>
  </si>
  <si>
    <t>Channel Distribution- Coimbatore</t>
  </si>
  <si>
    <t>EC</t>
  </si>
  <si>
    <t>Regional Demand planning</t>
  </si>
  <si>
    <t>Regional Supply planning</t>
  </si>
  <si>
    <t>Regional WH operations</t>
  </si>
  <si>
    <t>Regional WH transportation</t>
  </si>
  <si>
    <t>City Operations</t>
  </si>
  <si>
    <t>City Distribution</t>
  </si>
  <si>
    <t>Mother WH operations</t>
  </si>
  <si>
    <t>Mother WH Demand planning</t>
  </si>
  <si>
    <t>Mother WH Supply planning</t>
  </si>
  <si>
    <t>HOD Planning</t>
  </si>
  <si>
    <t>HOD Distribution</t>
  </si>
  <si>
    <t>HOD Transportation</t>
  </si>
  <si>
    <t>CSO</t>
  </si>
  <si>
    <t>Y</t>
  </si>
  <si>
    <t>Inventory for 3 days</t>
  </si>
  <si>
    <t>y</t>
  </si>
  <si>
    <t>Hyderabad</t>
  </si>
  <si>
    <t>RDC</t>
  </si>
  <si>
    <t>KA</t>
  </si>
  <si>
    <t>Hoskote</t>
  </si>
  <si>
    <t>KL</t>
  </si>
  <si>
    <t>Trichur</t>
  </si>
  <si>
    <t>Near Hoskote</t>
  </si>
  <si>
    <t>No of days inventory to sales available</t>
  </si>
  <si>
    <t>Replenishment</t>
  </si>
  <si>
    <t>In transit</t>
  </si>
  <si>
    <t>Arriving in  days'</t>
  </si>
  <si>
    <t>Once in a week replenishment, one vehicle to each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</si>
</sst>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9"/>
  <sheetViews>
    <sheetView tabSelected="1" topLeftCell="A3" workbookViewId="0">
      <selection activeCell="H12" sqref="H12:I14"/>
    </sheetView>
  </sheetViews>
  <sheetFormatPr defaultRowHeight="15" x14ac:dyDescent="0.25"/>
  <cols>
    <col min="2" max="2" width="15.5703125" customWidth="1"/>
    <col min="3" max="3" width="19.140625" style="1" bestFit="1" customWidth="1"/>
    <col min="5" max="5" width="11.42578125" bestFit="1" customWidth="1"/>
  </cols>
  <sheetData>
    <row r="2" spans="2:18" ht="18.75" x14ac:dyDescent="0.3">
      <c r="B2" s="2" t="s">
        <v>0</v>
      </c>
      <c r="C2" s="2"/>
    </row>
    <row r="3" spans="2:18" x14ac:dyDescent="0.25">
      <c r="B3" t="s">
        <v>2</v>
      </c>
      <c r="C3" s="1" t="s">
        <v>75</v>
      </c>
    </row>
    <row r="4" spans="2:18" x14ac:dyDescent="0.25">
      <c r="B4" t="s">
        <v>3</v>
      </c>
      <c r="C4" s="1" t="s">
        <v>36</v>
      </c>
    </row>
    <row r="5" spans="2:18" x14ac:dyDescent="0.25">
      <c r="B5" t="s">
        <v>5</v>
      </c>
      <c r="C5" s="1" t="s">
        <v>6</v>
      </c>
    </row>
    <row r="6" spans="2:18" x14ac:dyDescent="0.25">
      <c r="B6" t="s">
        <v>7</v>
      </c>
      <c r="C6" s="1">
        <v>16000</v>
      </c>
    </row>
    <row r="7" spans="2:18" x14ac:dyDescent="0.25">
      <c r="B7" t="s">
        <v>9</v>
      </c>
      <c r="C7" s="1">
        <v>800</v>
      </c>
    </row>
    <row r="8" spans="2:18" x14ac:dyDescent="0.25">
      <c r="B8" t="s">
        <v>8</v>
      </c>
      <c r="C8" s="1">
        <f>'Transporter master'!E5</f>
        <v>8</v>
      </c>
    </row>
    <row r="9" spans="2:18" x14ac:dyDescent="0.25">
      <c r="B9" t="s">
        <v>11</v>
      </c>
      <c r="C9" s="1" t="s">
        <v>12</v>
      </c>
      <c r="H9" t="s">
        <v>73</v>
      </c>
      <c r="N9" t="s">
        <v>73</v>
      </c>
    </row>
    <row r="10" spans="2:18" x14ac:dyDescent="0.25">
      <c r="B10" t="s">
        <v>13</v>
      </c>
      <c r="C10" s="1" t="s">
        <v>81</v>
      </c>
      <c r="H10" t="s">
        <v>51</v>
      </c>
      <c r="N10" t="s">
        <v>57</v>
      </c>
    </row>
    <row r="11" spans="2:18" x14ac:dyDescent="0.25">
      <c r="B11" s="9" t="s">
        <v>5</v>
      </c>
      <c r="C11" s="10" t="s">
        <v>37</v>
      </c>
      <c r="D11" s="11" t="s">
        <v>34</v>
      </c>
      <c r="E11" s="11" t="s">
        <v>10</v>
      </c>
      <c r="H11" s="13" t="s">
        <v>52</v>
      </c>
      <c r="I11" s="13" t="s">
        <v>53</v>
      </c>
      <c r="J11" s="13" t="s">
        <v>54</v>
      </c>
      <c r="K11" s="13" t="s">
        <v>55</v>
      </c>
      <c r="L11" s="13" t="s">
        <v>56</v>
      </c>
      <c r="N11" s="13" t="s">
        <v>52</v>
      </c>
      <c r="O11" s="13" t="s">
        <v>53</v>
      </c>
      <c r="P11" s="13" t="s">
        <v>54</v>
      </c>
      <c r="Q11" s="13" t="s">
        <v>55</v>
      </c>
      <c r="R11" s="13" t="s">
        <v>56</v>
      </c>
    </row>
    <row r="12" spans="2:18" x14ac:dyDescent="0.25">
      <c r="B12" s="5" t="s">
        <v>14</v>
      </c>
      <c r="C12" s="6">
        <v>8000</v>
      </c>
      <c r="D12" s="6">
        <f>C12/2</f>
        <v>4000</v>
      </c>
      <c r="E12" s="5">
        <f>C12/2</f>
        <v>4000</v>
      </c>
      <c r="H12" s="6">
        <f>D12*25%</f>
        <v>1000</v>
      </c>
      <c r="I12" s="6">
        <f>D12*30%</f>
        <v>1200</v>
      </c>
      <c r="J12" s="6">
        <f>D12*20%</f>
        <v>800</v>
      </c>
      <c r="K12" s="6">
        <f>D12*20%</f>
        <v>800</v>
      </c>
      <c r="L12" s="6">
        <f>D12*5%</f>
        <v>200</v>
      </c>
      <c r="N12" s="6">
        <f>E12*30%</f>
        <v>1200</v>
      </c>
      <c r="O12" s="6">
        <f>E12*25%</f>
        <v>1000</v>
      </c>
      <c r="P12" s="6">
        <f>E12*15%</f>
        <v>600</v>
      </c>
      <c r="Q12" s="6">
        <f>E12*25%</f>
        <v>1000</v>
      </c>
      <c r="R12" s="6">
        <f>E12*5%</f>
        <v>200</v>
      </c>
    </row>
    <row r="13" spans="2:18" x14ac:dyDescent="0.25">
      <c r="B13" s="5" t="s">
        <v>15</v>
      </c>
      <c r="C13" s="6">
        <v>8000</v>
      </c>
      <c r="D13" s="6">
        <f t="shared" ref="D13:D19" si="0">C13/2</f>
        <v>4000</v>
      </c>
      <c r="E13" s="5">
        <f t="shared" ref="E13:E19" si="1">C13/2</f>
        <v>4000</v>
      </c>
      <c r="H13" s="6">
        <f t="shared" ref="H13:H19" si="2">D13*25%</f>
        <v>1000</v>
      </c>
      <c r="I13" s="6">
        <f t="shared" ref="I13:I19" si="3">D13*30%</f>
        <v>1200</v>
      </c>
      <c r="J13" s="6">
        <f t="shared" ref="J13:J19" si="4">D13*20%</f>
        <v>800</v>
      </c>
      <c r="K13" s="6">
        <f t="shared" ref="K13:K19" si="5">D13*20%</f>
        <v>800</v>
      </c>
      <c r="L13" s="6">
        <f t="shared" ref="L13:L19" si="6">D13*5%</f>
        <v>200</v>
      </c>
      <c r="N13" s="6">
        <f t="shared" ref="N13:N19" si="7">E13*30%</f>
        <v>1200</v>
      </c>
      <c r="O13" s="6">
        <f t="shared" ref="O13:O19" si="8">E13*25%</f>
        <v>1000</v>
      </c>
      <c r="P13" s="6">
        <f t="shared" ref="P13:P19" si="9">E13*15%</f>
        <v>600</v>
      </c>
      <c r="Q13" s="6">
        <f t="shared" ref="Q13:Q19" si="10">E13*25%</f>
        <v>1000</v>
      </c>
      <c r="R13" s="6">
        <f t="shared" ref="R13:R19" si="11">E13*5%</f>
        <v>200</v>
      </c>
    </row>
    <row r="14" spans="2:18" x14ac:dyDescent="0.25">
      <c r="B14" s="5" t="s">
        <v>16</v>
      </c>
      <c r="C14" s="6">
        <v>16000</v>
      </c>
      <c r="D14" s="6">
        <f t="shared" si="0"/>
        <v>8000</v>
      </c>
      <c r="E14" s="5">
        <f t="shared" si="1"/>
        <v>8000</v>
      </c>
      <c r="H14" s="6">
        <f t="shared" si="2"/>
        <v>2000</v>
      </c>
      <c r="I14" s="6">
        <f t="shared" si="3"/>
        <v>2400</v>
      </c>
      <c r="J14" s="6">
        <f t="shared" si="4"/>
        <v>1600</v>
      </c>
      <c r="K14" s="6">
        <f t="shared" si="5"/>
        <v>1600</v>
      </c>
      <c r="L14" s="6">
        <f t="shared" si="6"/>
        <v>400</v>
      </c>
      <c r="N14" s="6">
        <f t="shared" si="7"/>
        <v>2400</v>
      </c>
      <c r="O14" s="6">
        <f t="shared" si="8"/>
        <v>2000</v>
      </c>
      <c r="P14" s="6">
        <f t="shared" si="9"/>
        <v>1200</v>
      </c>
      <c r="Q14" s="6">
        <f t="shared" si="10"/>
        <v>2000</v>
      </c>
      <c r="R14" s="6">
        <f t="shared" si="11"/>
        <v>400</v>
      </c>
    </row>
    <row r="15" spans="2:18" x14ac:dyDescent="0.25">
      <c r="B15" s="5" t="s">
        <v>17</v>
      </c>
      <c r="C15" s="6">
        <v>8000</v>
      </c>
      <c r="D15" s="6">
        <f t="shared" si="0"/>
        <v>4000</v>
      </c>
      <c r="E15" s="5">
        <f t="shared" si="1"/>
        <v>4000</v>
      </c>
      <c r="H15" s="6">
        <f t="shared" si="2"/>
        <v>1000</v>
      </c>
      <c r="I15" s="6">
        <f t="shared" si="3"/>
        <v>1200</v>
      </c>
      <c r="J15" s="6">
        <f t="shared" si="4"/>
        <v>800</v>
      </c>
      <c r="K15" s="6">
        <f t="shared" si="5"/>
        <v>800</v>
      </c>
      <c r="L15" s="6">
        <f t="shared" si="6"/>
        <v>200</v>
      </c>
      <c r="N15" s="6">
        <f t="shared" si="7"/>
        <v>1200</v>
      </c>
      <c r="O15" s="6">
        <f t="shared" si="8"/>
        <v>1000</v>
      </c>
      <c r="P15" s="6">
        <f t="shared" si="9"/>
        <v>600</v>
      </c>
      <c r="Q15" s="6">
        <f t="shared" si="10"/>
        <v>1000</v>
      </c>
      <c r="R15" s="6">
        <f t="shared" si="11"/>
        <v>200</v>
      </c>
    </row>
    <row r="16" spans="2:18" x14ac:dyDescent="0.25">
      <c r="B16" s="5" t="s">
        <v>18</v>
      </c>
      <c r="C16" s="6">
        <v>8000</v>
      </c>
      <c r="D16" s="6">
        <f t="shared" si="0"/>
        <v>4000</v>
      </c>
      <c r="E16" s="5">
        <f t="shared" si="1"/>
        <v>4000</v>
      </c>
      <c r="H16" s="6">
        <f t="shared" si="2"/>
        <v>1000</v>
      </c>
      <c r="I16" s="6">
        <f t="shared" si="3"/>
        <v>1200</v>
      </c>
      <c r="J16" s="6">
        <f t="shared" si="4"/>
        <v>800</v>
      </c>
      <c r="K16" s="6">
        <f t="shared" si="5"/>
        <v>800</v>
      </c>
      <c r="L16" s="6">
        <f t="shared" si="6"/>
        <v>200</v>
      </c>
      <c r="N16" s="6">
        <f t="shared" si="7"/>
        <v>1200</v>
      </c>
      <c r="O16" s="6">
        <f t="shared" si="8"/>
        <v>1000</v>
      </c>
      <c r="P16" s="6">
        <f t="shared" si="9"/>
        <v>600</v>
      </c>
      <c r="Q16" s="6">
        <f t="shared" si="10"/>
        <v>1000</v>
      </c>
      <c r="R16" s="6">
        <f t="shared" si="11"/>
        <v>200</v>
      </c>
    </row>
    <row r="17" spans="2:18" x14ac:dyDescent="0.25">
      <c r="B17" s="5" t="s">
        <v>19</v>
      </c>
      <c r="C17" s="6">
        <v>4000</v>
      </c>
      <c r="D17" s="6">
        <f t="shared" si="0"/>
        <v>2000</v>
      </c>
      <c r="E17" s="5">
        <f t="shared" si="1"/>
        <v>2000</v>
      </c>
      <c r="H17" s="6">
        <f t="shared" si="2"/>
        <v>500</v>
      </c>
      <c r="I17" s="6">
        <f t="shared" si="3"/>
        <v>600</v>
      </c>
      <c r="J17" s="6">
        <f t="shared" si="4"/>
        <v>400</v>
      </c>
      <c r="K17" s="6">
        <f t="shared" si="5"/>
        <v>400</v>
      </c>
      <c r="L17" s="6">
        <f t="shared" si="6"/>
        <v>100</v>
      </c>
      <c r="N17" s="6">
        <f t="shared" si="7"/>
        <v>600</v>
      </c>
      <c r="O17" s="6">
        <f t="shared" si="8"/>
        <v>500</v>
      </c>
      <c r="P17" s="6">
        <f t="shared" si="9"/>
        <v>300</v>
      </c>
      <c r="Q17" s="6">
        <f t="shared" si="10"/>
        <v>500</v>
      </c>
      <c r="R17" s="6">
        <f t="shared" si="11"/>
        <v>100</v>
      </c>
    </row>
    <row r="18" spans="2:18" x14ac:dyDescent="0.25">
      <c r="B18" s="5" t="s">
        <v>20</v>
      </c>
      <c r="C18" s="6">
        <v>4000</v>
      </c>
      <c r="D18" s="6">
        <f t="shared" si="0"/>
        <v>2000</v>
      </c>
      <c r="E18" s="5">
        <f t="shared" si="1"/>
        <v>2000</v>
      </c>
      <c r="H18" s="6">
        <f t="shared" si="2"/>
        <v>500</v>
      </c>
      <c r="I18" s="6">
        <f t="shared" si="3"/>
        <v>600</v>
      </c>
      <c r="J18" s="6">
        <f t="shared" si="4"/>
        <v>400</v>
      </c>
      <c r="K18" s="6">
        <f t="shared" si="5"/>
        <v>400</v>
      </c>
      <c r="L18" s="6">
        <f t="shared" si="6"/>
        <v>100</v>
      </c>
      <c r="N18" s="6">
        <f t="shared" si="7"/>
        <v>600</v>
      </c>
      <c r="O18" s="6">
        <f t="shared" si="8"/>
        <v>500</v>
      </c>
      <c r="P18" s="6">
        <f t="shared" si="9"/>
        <v>300</v>
      </c>
      <c r="Q18" s="6">
        <f t="shared" si="10"/>
        <v>500</v>
      </c>
      <c r="R18" s="6">
        <f t="shared" si="11"/>
        <v>100</v>
      </c>
    </row>
    <row r="19" spans="2:18" x14ac:dyDescent="0.25">
      <c r="B19" s="5" t="s">
        <v>21</v>
      </c>
      <c r="C19" s="6">
        <v>4000</v>
      </c>
      <c r="D19" s="6">
        <f t="shared" si="0"/>
        <v>2000</v>
      </c>
      <c r="E19" s="5">
        <f t="shared" si="1"/>
        <v>2000</v>
      </c>
      <c r="H19" s="6">
        <f t="shared" si="2"/>
        <v>500</v>
      </c>
      <c r="I19" s="6">
        <f t="shared" si="3"/>
        <v>600</v>
      </c>
      <c r="J19" s="6">
        <f t="shared" si="4"/>
        <v>400</v>
      </c>
      <c r="K19" s="6">
        <f t="shared" si="5"/>
        <v>400</v>
      </c>
      <c r="L19" s="6">
        <f t="shared" si="6"/>
        <v>100</v>
      </c>
      <c r="N19" s="6">
        <f t="shared" si="7"/>
        <v>600</v>
      </c>
      <c r="O19" s="6">
        <f t="shared" si="8"/>
        <v>500</v>
      </c>
      <c r="P19" s="6">
        <f t="shared" si="9"/>
        <v>300</v>
      </c>
      <c r="Q19" s="6">
        <f t="shared" si="10"/>
        <v>500</v>
      </c>
      <c r="R19" s="6">
        <f t="shared" si="11"/>
        <v>100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B6ED-D40C-4520-84DC-FB73318E9FEE}">
  <dimension ref="D3:F16"/>
  <sheetViews>
    <sheetView topLeftCell="A3" workbookViewId="0">
      <selection activeCell="D17" sqref="D17"/>
    </sheetView>
  </sheetViews>
  <sheetFormatPr defaultRowHeight="15" x14ac:dyDescent="0.25"/>
  <cols>
    <col min="4" max="4" width="12.140625" customWidth="1"/>
    <col min="5" max="5" width="12.28515625" customWidth="1"/>
    <col min="6" max="6" width="13" customWidth="1"/>
  </cols>
  <sheetData>
    <row r="3" spans="4:6" x14ac:dyDescent="0.25">
      <c r="E3" t="s">
        <v>82</v>
      </c>
    </row>
    <row r="4" spans="4:6" x14ac:dyDescent="0.25">
      <c r="E4" t="s">
        <v>77</v>
      </c>
      <c r="F4" t="s">
        <v>79</v>
      </c>
    </row>
    <row r="5" spans="4:6" x14ac:dyDescent="0.25">
      <c r="D5" s="9" t="s">
        <v>5</v>
      </c>
      <c r="E5" t="s">
        <v>78</v>
      </c>
      <c r="F5" t="s">
        <v>80</v>
      </c>
    </row>
    <row r="6" spans="4:6" x14ac:dyDescent="0.25">
      <c r="D6" s="5" t="s">
        <v>14</v>
      </c>
      <c r="E6">
        <v>5</v>
      </c>
      <c r="F6">
        <v>4</v>
      </c>
    </row>
    <row r="7" spans="4:6" x14ac:dyDescent="0.25">
      <c r="D7" s="5" t="s">
        <v>15</v>
      </c>
      <c r="E7">
        <v>5</v>
      </c>
      <c r="F7">
        <v>4</v>
      </c>
    </row>
    <row r="8" spans="4:6" x14ac:dyDescent="0.25">
      <c r="D8" s="5" t="s">
        <v>16</v>
      </c>
      <c r="E8">
        <v>5</v>
      </c>
      <c r="F8">
        <v>4</v>
      </c>
    </row>
    <row r="9" spans="4:6" x14ac:dyDescent="0.25">
      <c r="D9" s="5" t="s">
        <v>17</v>
      </c>
      <c r="E9">
        <v>5</v>
      </c>
      <c r="F9">
        <v>4</v>
      </c>
    </row>
    <row r="10" spans="4:6" x14ac:dyDescent="0.25">
      <c r="D10" s="5" t="s">
        <v>18</v>
      </c>
      <c r="E10">
        <v>4</v>
      </c>
      <c r="F10">
        <v>5</v>
      </c>
    </row>
    <row r="11" spans="4:6" x14ac:dyDescent="0.25">
      <c r="D11" s="5" t="s">
        <v>19</v>
      </c>
      <c r="E11">
        <v>4</v>
      </c>
      <c r="F11">
        <v>5</v>
      </c>
    </row>
    <row r="12" spans="4:6" x14ac:dyDescent="0.25">
      <c r="D12" s="5" t="s">
        <v>20</v>
      </c>
      <c r="E12">
        <v>4</v>
      </c>
      <c r="F12">
        <v>5</v>
      </c>
    </row>
    <row r="13" spans="4:6" x14ac:dyDescent="0.25">
      <c r="D13" s="5" t="s">
        <v>21</v>
      </c>
      <c r="E13">
        <v>4</v>
      </c>
      <c r="F13">
        <v>5</v>
      </c>
    </row>
    <row r="14" spans="4:6" x14ac:dyDescent="0.25">
      <c r="D14" s="15" t="s">
        <v>83</v>
      </c>
      <c r="E14" t="s">
        <v>84</v>
      </c>
      <c r="F14" t="s">
        <v>84</v>
      </c>
    </row>
    <row r="15" spans="4:6" x14ac:dyDescent="0.25">
      <c r="D15" s="15" t="s">
        <v>85</v>
      </c>
      <c r="E15">
        <v>2</v>
      </c>
      <c r="F15">
        <v>2</v>
      </c>
    </row>
    <row r="16" spans="4:6" x14ac:dyDescent="0.25">
      <c r="D16" s="1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FE53-A384-4B9B-AC96-652E1B7B4264}">
  <dimension ref="B3:F9"/>
  <sheetViews>
    <sheetView workbookViewId="0">
      <selection activeCell="F5" sqref="F5"/>
    </sheetView>
  </sheetViews>
  <sheetFormatPr defaultRowHeight="15" x14ac:dyDescent="0.25"/>
  <cols>
    <col min="4" max="4" width="13.5703125" customWidth="1"/>
    <col min="6" max="6" width="11.42578125" customWidth="1"/>
  </cols>
  <sheetData>
    <row r="3" spans="2:6" x14ac:dyDescent="0.25">
      <c r="B3" s="4" t="s">
        <v>22</v>
      </c>
      <c r="C3" s="4"/>
      <c r="D3" s="4"/>
      <c r="E3" s="4"/>
      <c r="F3" s="4"/>
    </row>
    <row r="4" spans="2:6" ht="45" x14ac:dyDescent="0.25">
      <c r="B4" s="11" t="s">
        <v>23</v>
      </c>
      <c r="C4" s="11" t="s">
        <v>24</v>
      </c>
      <c r="D4" s="11" t="s">
        <v>25</v>
      </c>
      <c r="E4" s="11" t="s">
        <v>26</v>
      </c>
      <c r="F4" s="12" t="s">
        <v>27</v>
      </c>
    </row>
    <row r="5" spans="2:6" x14ac:dyDescent="0.25">
      <c r="B5" s="5" t="s">
        <v>12</v>
      </c>
      <c r="C5" s="5" t="s">
        <v>1</v>
      </c>
      <c r="D5" s="5" t="s">
        <v>10</v>
      </c>
      <c r="E5" s="5">
        <v>8</v>
      </c>
      <c r="F5" s="5">
        <v>36</v>
      </c>
    </row>
    <row r="6" spans="2:6" x14ac:dyDescent="0.25">
      <c r="B6" s="5" t="s">
        <v>28</v>
      </c>
      <c r="C6" s="5" t="s">
        <v>1</v>
      </c>
      <c r="D6" s="5" t="s">
        <v>10</v>
      </c>
      <c r="E6" s="5">
        <v>8</v>
      </c>
      <c r="F6" s="5">
        <v>45</v>
      </c>
    </row>
    <row r="7" spans="2:6" x14ac:dyDescent="0.25">
      <c r="B7" s="5" t="s">
        <v>29</v>
      </c>
      <c r="C7" s="5" t="s">
        <v>1</v>
      </c>
      <c r="D7" s="5" t="s">
        <v>10</v>
      </c>
      <c r="E7" s="5">
        <v>9</v>
      </c>
      <c r="F7" s="5">
        <v>36</v>
      </c>
    </row>
    <row r="8" spans="2:6" x14ac:dyDescent="0.25">
      <c r="B8" s="5" t="s">
        <v>30</v>
      </c>
      <c r="C8" s="5" t="s">
        <v>1</v>
      </c>
      <c r="D8" s="5" t="s">
        <v>10</v>
      </c>
      <c r="E8" s="5">
        <v>7.5</v>
      </c>
      <c r="F8" s="5">
        <v>50</v>
      </c>
    </row>
    <row r="9" spans="2:6" x14ac:dyDescent="0.25">
      <c r="B9" s="5" t="s">
        <v>31</v>
      </c>
      <c r="C9" s="5" t="s">
        <v>1</v>
      </c>
      <c r="D9" s="5" t="s">
        <v>10</v>
      </c>
      <c r="E9" s="5">
        <v>10</v>
      </c>
      <c r="F9" s="5">
        <v>40</v>
      </c>
    </row>
  </sheetData>
  <mergeCells count="1">
    <mergeCell ref="B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CC53-3B54-4973-9957-AAAE1FB6E0C7}">
  <dimension ref="B3:H12"/>
  <sheetViews>
    <sheetView workbookViewId="0">
      <selection activeCell="G6" sqref="G6"/>
    </sheetView>
  </sheetViews>
  <sheetFormatPr defaultRowHeight="15" x14ac:dyDescent="0.25"/>
  <cols>
    <col min="3" max="3" width="15.140625" customWidth="1"/>
    <col min="4" max="4" width="12" customWidth="1"/>
  </cols>
  <sheetData>
    <row r="3" spans="2:8" x14ac:dyDescent="0.25">
      <c r="B3" s="3" t="s">
        <v>39</v>
      </c>
    </row>
    <row r="4" spans="2:8" x14ac:dyDescent="0.25">
      <c r="B4" s="3" t="s">
        <v>38</v>
      </c>
      <c r="G4" t="s">
        <v>77</v>
      </c>
      <c r="H4" t="s">
        <v>79</v>
      </c>
    </row>
    <row r="5" spans="2:8" x14ac:dyDescent="0.25">
      <c r="B5" s="3"/>
      <c r="F5" t="s">
        <v>76</v>
      </c>
      <c r="G5" t="s">
        <v>78</v>
      </c>
      <c r="H5" t="s">
        <v>80</v>
      </c>
    </row>
    <row r="6" spans="2:8" ht="15.75" x14ac:dyDescent="0.25">
      <c r="B6" s="8" t="s">
        <v>32</v>
      </c>
      <c r="C6" s="8"/>
    </row>
    <row r="7" spans="2:8" x14ac:dyDescent="0.25">
      <c r="B7" s="13" t="s">
        <v>33</v>
      </c>
      <c r="C7" s="13" t="s">
        <v>3</v>
      </c>
    </row>
    <row r="8" spans="2:8" x14ac:dyDescent="0.25">
      <c r="B8" s="6">
        <v>1</v>
      </c>
      <c r="C8" s="14" t="s">
        <v>34</v>
      </c>
    </row>
    <row r="9" spans="2:8" x14ac:dyDescent="0.25">
      <c r="B9" s="6">
        <v>2</v>
      </c>
      <c r="C9" s="6" t="s">
        <v>4</v>
      </c>
    </row>
    <row r="10" spans="2:8" x14ac:dyDescent="0.25">
      <c r="B10" s="6">
        <v>3</v>
      </c>
      <c r="C10" s="7" t="s">
        <v>40</v>
      </c>
    </row>
    <row r="11" spans="2:8" x14ac:dyDescent="0.25">
      <c r="B11" s="6">
        <v>4</v>
      </c>
      <c r="C11" s="14" t="s">
        <v>10</v>
      </c>
    </row>
    <row r="12" spans="2:8" x14ac:dyDescent="0.25">
      <c r="B12" s="6">
        <v>5</v>
      </c>
      <c r="C12" s="6" t="s">
        <v>35</v>
      </c>
    </row>
  </sheetData>
  <mergeCells count="1"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583E-682F-424E-B98C-0C8A86A3DC4F}">
  <dimension ref="C3:E9"/>
  <sheetViews>
    <sheetView workbookViewId="0">
      <selection activeCell="D5" sqref="D5:D10"/>
    </sheetView>
  </sheetViews>
  <sheetFormatPr defaultRowHeight="15" x14ac:dyDescent="0.25"/>
  <cols>
    <col min="3" max="3" width="9.140625" style="1"/>
    <col min="4" max="4" width="22.7109375" customWidth="1"/>
  </cols>
  <sheetData>
    <row r="3" spans="3:5" ht="15.75" x14ac:dyDescent="0.25">
      <c r="C3" s="8" t="s">
        <v>49</v>
      </c>
      <c r="D3" s="8"/>
    </row>
    <row r="4" spans="3:5" x14ac:dyDescent="0.25">
      <c r="C4" s="13" t="s">
        <v>41</v>
      </c>
      <c r="D4" s="11" t="s">
        <v>48</v>
      </c>
    </row>
    <row r="5" spans="3:5" x14ac:dyDescent="0.25">
      <c r="C5" s="6">
        <v>1</v>
      </c>
      <c r="D5" s="5" t="s">
        <v>43</v>
      </c>
      <c r="E5" s="5" t="s">
        <v>52</v>
      </c>
    </row>
    <row r="6" spans="3:5" x14ac:dyDescent="0.25">
      <c r="C6" s="6">
        <v>2</v>
      </c>
      <c r="D6" s="5" t="s">
        <v>44</v>
      </c>
      <c r="E6" s="5" t="s">
        <v>53</v>
      </c>
    </row>
    <row r="7" spans="3:5" x14ac:dyDescent="0.25">
      <c r="C7" s="6">
        <v>3</v>
      </c>
      <c r="D7" s="5" t="s">
        <v>45</v>
      </c>
      <c r="E7" s="5" t="s">
        <v>54</v>
      </c>
    </row>
    <row r="8" spans="3:5" x14ac:dyDescent="0.25">
      <c r="C8" s="6">
        <v>4</v>
      </c>
      <c r="D8" s="5" t="s">
        <v>46</v>
      </c>
      <c r="E8" s="5" t="s">
        <v>55</v>
      </c>
    </row>
    <row r="9" spans="3:5" x14ac:dyDescent="0.25">
      <c r="C9" s="6">
        <v>5</v>
      </c>
      <c r="D9" s="5" t="s">
        <v>47</v>
      </c>
      <c r="E9" s="5" t="s">
        <v>56</v>
      </c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D009-B193-4233-9C84-EE664B801954}">
  <dimension ref="C4:I18"/>
  <sheetViews>
    <sheetView topLeftCell="A3" workbookViewId="0">
      <selection activeCell="C6" sqref="C6:C18"/>
    </sheetView>
  </sheetViews>
  <sheetFormatPr defaultRowHeight="15" x14ac:dyDescent="0.25"/>
  <cols>
    <col min="4" max="4" width="29.5703125" customWidth="1"/>
  </cols>
  <sheetData>
    <row r="4" spans="3:9" x14ac:dyDescent="0.25">
      <c r="E4" t="s">
        <v>42</v>
      </c>
    </row>
    <row r="5" spans="3:9" x14ac:dyDescent="0.25">
      <c r="C5" s="6" t="s">
        <v>41</v>
      </c>
      <c r="D5" s="5" t="s">
        <v>50</v>
      </c>
      <c r="E5" s="5" t="s">
        <v>52</v>
      </c>
      <c r="F5" s="5" t="s">
        <v>53</v>
      </c>
      <c r="G5" s="5" t="s">
        <v>58</v>
      </c>
      <c r="H5" s="5" t="s">
        <v>55</v>
      </c>
      <c r="I5" s="5" t="s">
        <v>47</v>
      </c>
    </row>
    <row r="6" spans="3:9" x14ac:dyDescent="0.25">
      <c r="C6" s="6">
        <v>1</v>
      </c>
      <c r="D6" s="5" t="s">
        <v>59</v>
      </c>
      <c r="E6" s="5" t="s">
        <v>72</v>
      </c>
      <c r="F6" s="5" t="s">
        <v>72</v>
      </c>
      <c r="G6" s="5" t="s">
        <v>72</v>
      </c>
      <c r="H6" s="5" t="s">
        <v>72</v>
      </c>
      <c r="I6" s="5" t="s">
        <v>72</v>
      </c>
    </row>
    <row r="7" spans="3:9" x14ac:dyDescent="0.25">
      <c r="C7" s="6">
        <v>2</v>
      </c>
      <c r="D7" s="5" t="s">
        <v>60</v>
      </c>
      <c r="E7" s="5" t="s">
        <v>72</v>
      </c>
      <c r="F7" s="5" t="s">
        <v>72</v>
      </c>
      <c r="G7" s="5" t="s">
        <v>72</v>
      </c>
      <c r="H7" s="5" t="s">
        <v>72</v>
      </c>
      <c r="I7" s="5" t="s">
        <v>72</v>
      </c>
    </row>
    <row r="8" spans="3:9" x14ac:dyDescent="0.25">
      <c r="C8" s="6">
        <v>3</v>
      </c>
      <c r="D8" s="5" t="s">
        <v>61</v>
      </c>
      <c r="E8" s="5" t="s">
        <v>72</v>
      </c>
      <c r="F8" s="5" t="s">
        <v>72</v>
      </c>
      <c r="G8" s="5" t="s">
        <v>72</v>
      </c>
      <c r="H8" s="5" t="s">
        <v>72</v>
      </c>
      <c r="I8" s="5" t="s">
        <v>72</v>
      </c>
    </row>
    <row r="9" spans="3:9" x14ac:dyDescent="0.25">
      <c r="C9" s="6">
        <v>4</v>
      </c>
      <c r="D9" s="5" t="s">
        <v>62</v>
      </c>
      <c r="E9" s="5" t="s">
        <v>72</v>
      </c>
      <c r="F9" s="5" t="s">
        <v>72</v>
      </c>
      <c r="G9" s="5" t="s">
        <v>72</v>
      </c>
      <c r="H9" s="5" t="s">
        <v>72</v>
      </c>
      <c r="I9" s="5" t="s">
        <v>72</v>
      </c>
    </row>
    <row r="10" spans="3:9" x14ac:dyDescent="0.25">
      <c r="C10" s="6">
        <v>5</v>
      </c>
      <c r="D10" s="5" t="s">
        <v>63</v>
      </c>
      <c r="E10" s="5" t="s">
        <v>72</v>
      </c>
      <c r="F10" s="5" t="s">
        <v>72</v>
      </c>
      <c r="G10" s="5" t="s">
        <v>72</v>
      </c>
      <c r="H10" s="5" t="s">
        <v>72</v>
      </c>
      <c r="I10" s="5" t="s">
        <v>72</v>
      </c>
    </row>
    <row r="11" spans="3:9" x14ac:dyDescent="0.25">
      <c r="C11" s="6">
        <v>6</v>
      </c>
      <c r="D11" s="5" t="s">
        <v>64</v>
      </c>
      <c r="E11" s="5" t="s">
        <v>72</v>
      </c>
      <c r="F11" s="5" t="s">
        <v>72</v>
      </c>
      <c r="G11" s="5" t="s">
        <v>72</v>
      </c>
      <c r="H11" s="5" t="s">
        <v>72</v>
      </c>
      <c r="I11" s="5" t="s">
        <v>72</v>
      </c>
    </row>
    <row r="12" spans="3:9" x14ac:dyDescent="0.25">
      <c r="C12" s="6">
        <v>7</v>
      </c>
      <c r="D12" s="5" t="s">
        <v>65</v>
      </c>
      <c r="E12" s="5" t="s">
        <v>72</v>
      </c>
      <c r="F12" s="5" t="s">
        <v>72</v>
      </c>
      <c r="G12" s="5" t="s">
        <v>72</v>
      </c>
      <c r="H12" s="5" t="s">
        <v>72</v>
      </c>
      <c r="I12" s="5" t="s">
        <v>72</v>
      </c>
    </row>
    <row r="13" spans="3:9" x14ac:dyDescent="0.25">
      <c r="C13" s="6">
        <v>8</v>
      </c>
      <c r="D13" s="5" t="s">
        <v>66</v>
      </c>
      <c r="E13" s="5" t="s">
        <v>72</v>
      </c>
      <c r="F13" s="5" t="s">
        <v>72</v>
      </c>
      <c r="G13" s="5" t="s">
        <v>72</v>
      </c>
      <c r="H13" s="5" t="s">
        <v>72</v>
      </c>
      <c r="I13" s="5" t="s">
        <v>72</v>
      </c>
    </row>
    <row r="14" spans="3:9" x14ac:dyDescent="0.25">
      <c r="C14" s="6">
        <v>9</v>
      </c>
      <c r="D14" s="5" t="s">
        <v>67</v>
      </c>
      <c r="E14" s="5" t="s">
        <v>72</v>
      </c>
      <c r="F14" s="5" t="s">
        <v>72</v>
      </c>
      <c r="G14" s="5" t="s">
        <v>72</v>
      </c>
      <c r="H14" s="5" t="s">
        <v>72</v>
      </c>
      <c r="I14" s="5" t="s">
        <v>72</v>
      </c>
    </row>
    <row r="15" spans="3:9" x14ac:dyDescent="0.25">
      <c r="C15" s="6">
        <v>10</v>
      </c>
      <c r="D15" s="5" t="s">
        <v>68</v>
      </c>
      <c r="E15" s="4" t="s">
        <v>74</v>
      </c>
      <c r="F15" s="4"/>
      <c r="G15" s="4"/>
      <c r="H15" s="4"/>
      <c r="I15" s="4"/>
    </row>
    <row r="16" spans="3:9" x14ac:dyDescent="0.25">
      <c r="C16" s="6">
        <v>11</v>
      </c>
      <c r="D16" s="5" t="s">
        <v>69</v>
      </c>
      <c r="E16" s="4" t="s">
        <v>74</v>
      </c>
      <c r="F16" s="4"/>
      <c r="G16" s="4"/>
      <c r="H16" s="4"/>
      <c r="I16" s="4"/>
    </row>
    <row r="17" spans="3:9" x14ac:dyDescent="0.25">
      <c r="C17" s="6">
        <v>12</v>
      </c>
      <c r="D17" s="5" t="s">
        <v>70</v>
      </c>
      <c r="E17" s="4" t="s">
        <v>74</v>
      </c>
      <c r="F17" s="4"/>
      <c r="G17" s="4"/>
      <c r="H17" s="4"/>
      <c r="I17" s="4"/>
    </row>
    <row r="18" spans="3:9" x14ac:dyDescent="0.25">
      <c r="C18" s="6">
        <v>13</v>
      </c>
      <c r="D18" s="5" t="s">
        <v>71</v>
      </c>
      <c r="E18" s="4" t="s">
        <v>74</v>
      </c>
      <c r="F18" s="4"/>
      <c r="G18" s="4"/>
      <c r="H18" s="4"/>
      <c r="I18" s="4"/>
    </row>
  </sheetData>
  <mergeCells count="4">
    <mergeCell ref="E15:I15"/>
    <mergeCell ref="E16:I16"/>
    <mergeCell ref="E17:I17"/>
    <mergeCell ref="E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RDC inventory</vt:lpstr>
      <vt:lpstr>Transporter master</vt:lpstr>
      <vt:lpstr>City name master</vt:lpstr>
      <vt:lpstr>Sales channels master</vt:lpstr>
      <vt:lpstr>Department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Vinay Menon</cp:lastModifiedBy>
  <dcterms:created xsi:type="dcterms:W3CDTF">2015-06-05T18:17:20Z</dcterms:created>
  <dcterms:modified xsi:type="dcterms:W3CDTF">2026-07-12T09:53:09Z</dcterms:modified>
</cp:coreProperties>
</file>